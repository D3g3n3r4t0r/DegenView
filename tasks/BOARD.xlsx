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" sheetId="1" state="visible" r:id="rId1"/>
  </sheets>
  <definedNames>
    <definedName name="_xlnm._FilterDatabase" localSheetId="0" hidden="1">'Board'!$A$4:$H$22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9DB"/>
      </patternFill>
    </fill>
    <fill>
      <patternFill patternType="solid">
        <fgColor rgb="00EDF1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12" customWidth="1" min="5" max="5"/>
    <col width="52" customWidth="1" min="6" max="6"/>
    <col width="18" customWidth="1" min="7" max="7"/>
    <col width="14" customWidth="1" min="8" max="8"/>
  </cols>
  <sheetData>
    <row r="1" ht="22" customHeight="1">
      <c r="A1" s="1" t="inlineStr">
        <is>
          <t>Board interventi — Liquidity Analysis Engine</t>
        </is>
      </c>
    </row>
    <row r="2" ht="16" customHeight="1">
      <c r="A2" s="2" t="inlineStr">
        <is>
          <t>Giallo = lo compili tu (area, cosa sistemare, priorità, stato).    Azzurro = lo compilo io (soluzione, data, commit).</t>
        </is>
      </c>
    </row>
    <row r="4" ht="24" customHeight="1">
      <c r="A4" s="3" t="inlineStr">
        <is>
          <t>ID</t>
        </is>
      </c>
      <c r="B4" s="3" t="inlineStr">
        <is>
          <t>Area</t>
        </is>
      </c>
      <c r="C4" s="3" t="inlineStr">
        <is>
          <t>Cosa sistemare</t>
        </is>
      </c>
      <c r="D4" s="3" t="inlineStr">
        <is>
          <t>Priorità</t>
        </is>
      </c>
      <c r="E4" s="3" t="inlineStr">
        <is>
          <t>Stato</t>
        </is>
      </c>
      <c r="F4" s="3" t="inlineStr">
        <is>
          <t>Soluzione applicata</t>
        </is>
      </c>
      <c r="G4" s="3" t="inlineStr">
        <is>
          <t>Applicato il</t>
        </is>
      </c>
      <c r="H4" s="3" t="inlineStr">
        <is>
          <t>Commit</t>
        </is>
      </c>
    </row>
    <row r="5" ht="46" customHeight="1">
      <c r="A5" s="4" t="n">
        <v>1</v>
      </c>
      <c r="B5" s="4" t="inlineStr">
        <is>
          <t>strategie</t>
        </is>
      </c>
      <c r="C5" s="5" t="inlineStr">
        <is>
          <t>Ridurre i parametri delle strategie: il ramo a 4 parametri batte quello a 8 su IS e OOS. Puntare a 3-4 parametri per strategia</t>
        </is>
      </c>
      <c r="D5" s="4" t="inlineStr">
        <is>
          <t>alta</t>
        </is>
      </c>
      <c r="E5" s="4" t="inlineStr">
        <is>
          <t>aperto</t>
        </is>
      </c>
      <c r="F5" s="6" t="inlineStr"/>
      <c r="G5" s="7" t="inlineStr"/>
      <c r="H5" s="7" t="inlineStr"/>
    </row>
    <row r="6" ht="46" customHeight="1">
      <c r="A6" s="4" t="n">
        <v>2</v>
      </c>
      <c r="B6" s="4" t="inlineStr">
        <is>
          <t>validazione</t>
        </is>
      </c>
      <c r="C6" s="5" t="inlineStr">
        <is>
          <t>Alzare la soglia min_trades da 8: Gabriele passa con 8 trade e DD 0.0% - troppo pochi per contenere una perdita</t>
        </is>
      </c>
      <c r="D6" s="4" t="inlineStr">
        <is>
          <t>alta</t>
        </is>
      </c>
      <c r="E6" s="4" t="inlineStr">
        <is>
          <t>aperto</t>
        </is>
      </c>
      <c r="F6" s="6" t="inlineStr"/>
      <c r="G6" s="7" t="inlineStr"/>
      <c r="H6" s="7" t="inlineStr"/>
    </row>
    <row r="7" ht="46" customHeight="1">
      <c r="A7" s="4" t="n">
        <v>3</v>
      </c>
      <c r="B7" s="4" t="inlineStr">
        <is>
          <t>ricerca</t>
        </is>
      </c>
      <c r="C7" s="5" t="inlineStr">
        <is>
          <t>Trovare dove il gate PASSA: provare KAS su 4H e 1W e altri ticker invece di insistere su daily</t>
        </is>
      </c>
      <c r="D7" s="4" t="inlineStr">
        <is>
          <t>alta</t>
        </is>
      </c>
      <c r="E7" s="4" t="inlineStr">
        <is>
          <t>aperto</t>
        </is>
      </c>
      <c r="F7" s="6" t="inlineStr"/>
      <c r="G7" s="7" t="inlineStr"/>
      <c r="H7" s="7" t="inlineStr"/>
    </row>
    <row r="8" ht="46" customHeight="1">
      <c r="A8" s="4" t="n">
        <v>4</v>
      </c>
      <c r="B8" s="4" t="inlineStr">
        <is>
          <t>ottimizzatore</t>
        </is>
      </c>
      <c r="C8" s="5" t="inlineStr">
        <is>
          <t>Rami 6 e 8 di Lorenzo restano campionati (non deterministici) - servono meno parametri o piu budget</t>
        </is>
      </c>
      <c r="D8" s="4" t="inlineStr">
        <is>
          <t>media</t>
        </is>
      </c>
      <c r="E8" s="4" t="inlineStr">
        <is>
          <t>aperto</t>
        </is>
      </c>
      <c r="F8" s="6" t="inlineStr"/>
      <c r="G8" s="7" t="inlineStr"/>
      <c r="H8" s="7" t="inlineStr"/>
    </row>
    <row r="9" ht="46" customHeight="1">
      <c r="A9" s="4" t="n">
        <v>5</v>
      </c>
      <c r="B9" s="4" t="inlineStr">
        <is>
          <t>ottimizzatore</t>
        </is>
      </c>
      <c r="C9" s="5" t="inlineStr">
        <is>
          <t>PBO implementato ma non collegato: serve matrice rendimenti per candidato allineata nel tempo</t>
        </is>
      </c>
      <c r="D9" s="4" t="inlineStr">
        <is>
          <t>bassa</t>
        </is>
      </c>
      <c r="E9" s="4" t="inlineStr">
        <is>
          <t>aperto</t>
        </is>
      </c>
      <c r="F9" s="6" t="inlineStr"/>
      <c r="G9" s="7" t="inlineStr"/>
      <c r="H9" s="7" t="inlineStr"/>
    </row>
    <row r="10" ht="46" customHeight="1">
      <c r="A10" s="4" t="n">
        <v>6</v>
      </c>
      <c r="B10" s="4" t="inlineStr">
        <is>
          <t>ui</t>
        </is>
      </c>
      <c r="C10" s="5" t="inlineStr">
        <is>
          <t>Valutare se rendere 'Stabile' la modalita predefinita al posto di 'Rapida'</t>
        </is>
      </c>
      <c r="D10" s="4" t="inlineStr">
        <is>
          <t>bassa</t>
        </is>
      </c>
      <c r="E10" s="4" t="inlineStr">
        <is>
          <t>aperto</t>
        </is>
      </c>
      <c r="F10" s="6" t="inlineStr"/>
      <c r="G10" s="7" t="inlineStr"/>
      <c r="H10" s="7" t="inlineStr"/>
    </row>
    <row r="11" ht="32" customHeight="1">
      <c r="A11" s="4" t="n"/>
      <c r="B11" s="4" t="n"/>
      <c r="C11" s="5" t="n"/>
      <c r="D11" s="4" t="n"/>
      <c r="E11" s="4" t="n"/>
      <c r="F11" s="6" t="n"/>
      <c r="G11" s="7" t="n"/>
      <c r="H11" s="7" t="n"/>
    </row>
    <row r="12" ht="32" customHeight="1">
      <c r="A12" s="4" t="n"/>
      <c r="B12" s="4" t="n"/>
      <c r="C12" s="5" t="n"/>
      <c r="D12" s="4" t="n"/>
      <c r="E12" s="4" t="n"/>
      <c r="F12" s="6" t="n"/>
      <c r="G12" s="7" t="n"/>
      <c r="H12" s="7" t="n"/>
    </row>
    <row r="13" ht="32" customHeight="1">
      <c r="A13" s="4" t="n"/>
      <c r="B13" s="4" t="n"/>
      <c r="C13" s="5" t="n"/>
      <c r="D13" s="4" t="n"/>
      <c r="E13" s="4" t="n"/>
      <c r="F13" s="6" t="n"/>
      <c r="G13" s="7" t="n"/>
      <c r="H13" s="7" t="n"/>
    </row>
    <row r="14" ht="32" customHeight="1">
      <c r="A14" s="4" t="n"/>
      <c r="B14" s="4" t="n"/>
      <c r="C14" s="5" t="n"/>
      <c r="D14" s="4" t="n"/>
      <c r="E14" s="4" t="n"/>
      <c r="F14" s="6" t="n"/>
      <c r="G14" s="7" t="n"/>
      <c r="H14" s="7" t="n"/>
    </row>
    <row r="15" ht="32" customHeight="1">
      <c r="A15" s="4" t="n"/>
      <c r="B15" s="4" t="n"/>
      <c r="C15" s="5" t="n"/>
      <c r="D15" s="4" t="n"/>
      <c r="E15" s="4" t="n"/>
      <c r="F15" s="6" t="n"/>
      <c r="G15" s="7" t="n"/>
      <c r="H15" s="7" t="n"/>
    </row>
    <row r="16" ht="32" customHeight="1">
      <c r="A16" s="4" t="n"/>
      <c r="B16" s="4" t="n"/>
      <c r="C16" s="5" t="n"/>
      <c r="D16" s="4" t="n"/>
      <c r="E16" s="4" t="n"/>
      <c r="F16" s="6" t="n"/>
      <c r="G16" s="7" t="n"/>
      <c r="H16" s="7" t="n"/>
    </row>
    <row r="17" ht="32" customHeight="1">
      <c r="A17" s="4" t="n"/>
      <c r="B17" s="4" t="n"/>
      <c r="C17" s="5" t="n"/>
      <c r="D17" s="4" t="n"/>
      <c r="E17" s="4" t="n"/>
      <c r="F17" s="6" t="n"/>
      <c r="G17" s="7" t="n"/>
      <c r="H17" s="7" t="n"/>
    </row>
    <row r="18" ht="32" customHeight="1">
      <c r="A18" s="4" t="n"/>
      <c r="B18" s="4" t="n"/>
      <c r="C18" s="5" t="n"/>
      <c r="D18" s="4" t="n"/>
      <c r="E18" s="4" t="n"/>
      <c r="F18" s="6" t="n"/>
      <c r="G18" s="7" t="n"/>
      <c r="H18" s="7" t="n"/>
    </row>
    <row r="19" ht="32" customHeight="1">
      <c r="A19" s="4" t="n"/>
      <c r="B19" s="4" t="n"/>
      <c r="C19" s="5" t="n"/>
      <c r="D19" s="4" t="n"/>
      <c r="E19" s="4" t="n"/>
      <c r="F19" s="6" t="n"/>
      <c r="G19" s="7" t="n"/>
      <c r="H19" s="7" t="n"/>
    </row>
    <row r="20" ht="32" customHeight="1">
      <c r="A20" s="4" t="n"/>
      <c r="B20" s="4" t="n"/>
      <c r="C20" s="5" t="n"/>
      <c r="D20" s="4" t="n"/>
      <c r="E20" s="4" t="n"/>
      <c r="F20" s="6" t="n"/>
      <c r="G20" s="7" t="n"/>
      <c r="H20" s="7" t="n"/>
    </row>
    <row r="21" ht="32" customHeight="1">
      <c r="A21" s="4" t="n"/>
      <c r="B21" s="4" t="n"/>
      <c r="C21" s="5" t="n"/>
      <c r="D21" s="4" t="n"/>
      <c r="E21" s="4" t="n"/>
      <c r="F21" s="6" t="n"/>
      <c r="G21" s="7" t="n"/>
      <c r="H21" s="7" t="n"/>
    </row>
    <row r="22" ht="32" customHeight="1">
      <c r="A22" s="4" t="n"/>
      <c r="B22" s="4" t="n"/>
      <c r="C22" s="5" t="n"/>
      <c r="D22" s="4" t="n"/>
      <c r="E22" s="4" t="n"/>
      <c r="F22" s="6" t="n"/>
      <c r="G22" s="7" t="n"/>
      <c r="H22" s="7" t="n"/>
    </row>
    <row r="24">
      <c r="A24" s="8" t="inlineStr">
        <is>
          <t>Riepilogo</t>
        </is>
      </c>
    </row>
    <row r="25">
      <c r="A25" s="9" t="inlineStr">
        <is>
          <t>Totale</t>
        </is>
      </c>
      <c r="B25" s="10">
        <f>COUNTA(C5:C22)</f>
        <v/>
      </c>
    </row>
    <row r="26">
      <c r="A26" s="9" t="inlineStr">
        <is>
          <t>Aperti</t>
        </is>
      </c>
      <c r="B26" s="10">
        <f>COUNTIF(E5:E22,"aperto")</f>
        <v/>
      </c>
    </row>
    <row r="27">
      <c r="A27" s="9" t="inlineStr">
        <is>
          <t>In corso</t>
        </is>
      </c>
      <c r="B27" s="10">
        <f>COUNTIF(E5:E22,"in corso")</f>
        <v/>
      </c>
    </row>
    <row r="28">
      <c r="A28" s="9" t="inlineStr">
        <is>
          <t>Fatti</t>
        </is>
      </c>
      <c r="B28" s="10">
        <f>COUNTIF(E5:E22,"fatto")</f>
        <v/>
      </c>
    </row>
    <row r="29">
      <c r="A29" s="9" t="inlineStr">
        <is>
          <t>Priorità alta ancora aperti</t>
        </is>
      </c>
      <c r="B29" s="10">
        <f>COUNTIFS(D5:D22,"alta",E5:E22,"aperto")</f>
        <v/>
      </c>
    </row>
  </sheetData>
  <autoFilter ref="A4:H22"/>
  <mergeCells count="2">
    <mergeCell ref="A2:H2"/>
    <mergeCell ref="A1:H1"/>
  </mergeCells>
  <dataValidations count="2">
    <dataValidation sqref="D5:D22" showDropDown="0" showInputMessage="0" showErrorMessage="0" allowBlank="1" type="list">
      <formula1>"alta,media,bassa"</formula1>
    </dataValidation>
    <dataValidation sqref="E5:E22" showDropDown="0" showInputMessage="0" showErrorMessage="0" allowBlank="1" type="list">
      <formula1>"aperto,in corso,fatto,scartato"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2026-09-03T21:58:43Z</dcterms:created>
  <dcterms:modified xsi:type="dcterms:W3CDTF">2026-09-03T21:58:43Z</dcterms:modified>
</cp:coreProperties>
</file>